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460"/>
  </bookViews>
  <sheets>
    <sheet name="LichChup" sheetId="1" r:id="rId1"/>
    <sheet name="GoiChup" sheetId="2" r:id="rId2"/>
  </sheets>
  <definedNames>
    <definedName name="_xlnm._FilterDatabase" localSheetId="0" hidden="1">LichChup!$A$1:$G$16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<sst xmlns="http://schemas.openxmlformats.org/spreadsheetml/2006/main" count="69" uniqueCount="51">
  <si>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ma_lc</t>
  </si>
  <si>
    <t>ngay_chup</t>
  </si>
  <si>
    <t>ma_gc</t>
  </si>
  <si>
    <t>so_buoi</t>
  </si>
  <si>
    <t>ten_goi_chup</t>
  </si>
  <si>
    <t>gia_goi</t>
  </si>
  <si>
    <t>tien_chup</t>
  </si>
  <si>
    <t>LC001</t>
  </si>
  <si>
    <t>2026-05-01</t>
  </si>
  <si>
    <t>CN01</t>
  </si>
  <si>
    <t>LC002</t>
  </si>
  <si>
    <t>2026-05-02</t>
  </si>
  <si>
    <t>CT01</t>
  </si>
  <si>
    <t>LC003</t>
  </si>
  <si>
    <t>2026-05-03</t>
  </si>
  <si>
    <t>CB01</t>
  </si>
  <si>
    <t>LC004</t>
  </si>
  <si>
    <t>2026-05-04</t>
  </si>
  <si>
    <t>LC005</t>
  </si>
  <si>
    <t>2026-05-05</t>
  </si>
  <si>
    <t>LC006</t>
  </si>
  <si>
    <t>2026-05-06</t>
  </si>
  <si>
    <t>LC007</t>
  </si>
  <si>
    <t>2026-05-07</t>
  </si>
  <si>
    <t>CG01</t>
  </si>
  <si>
    <t>LC008</t>
  </si>
  <si>
    <t>2026-05-08</t>
  </si>
  <si>
    <t>LC009</t>
  </si>
  <si>
    <t>2026-05-09</t>
  </si>
  <si>
    <t>CK01</t>
  </si>
  <si>
    <t>LC010</t>
  </si>
  <si>
    <t>2026-05-10</t>
  </si>
  <si>
    <t>LC011</t>
  </si>
  <si>
    <t>2026-05-11</t>
  </si>
  <si>
    <t>CS01</t>
  </si>
  <si>
    <t>LC012</t>
  </si>
  <si>
    <t>2026-05-12</t>
  </si>
  <si>
    <t>LC013</t>
  </si>
  <si>
    <t>2026-05-13</t>
  </si>
  <si>
    <t>CC01</t>
  </si>
  <si>
    <t>LC014</t>
  </si>
  <si>
    <t>2026-05-14</t>
  </si>
  <si>
    <t>LC015</t>
  </si>
  <si>
    <t>2026-05-15</t>
  </si>
  <si>
    <t>Chup chan dung</t>
  </si>
  <si>
    <t>Chup ky yeu lop</t>
  </si>
  <si>
    <t>Chup gia dinh</t>
  </si>
  <si>
    <t>Chup san pham</t>
  </si>
  <si>
    <t>Chup anh the</t>
  </si>
  <si>
    <t>Chup be yeu</t>
  </si>
  <si>
    <t>Chup cuoi trong studio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</si>
</sst>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E4" sqref="E4"/>
    </sheetView>
  </sheetViews>
  <sheetFormatPr defaultColWidth="9" defaultRowHeight="14.4" outlineLevelCol="6"/>
  <cols>
    <col min="1" max="4" width="15" customWidth="1"/>
    <col min="5" max="5" width="21.2222222222222" customWidth="1"/>
    <col min="6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idden="1" spans="1:7">
      <c r="A2" s="1" t="s">
        <v>7</v>
      </c>
      <c r="B2" s="1" t="s">
        <v>8</v>
      </c>
      <c r="C2" s="1" t="s">
        <v>9</v>
      </c>
      <c r="D2" s="1">
        <v>2</v>
      </c>
      <c r="E2" s="1" t="str">
        <f>VLOOKUP(C2,GoiChup!$A$1:$B$8,2,FALSE)</f>
        <v>Chup chan dung</v>
      </c>
      <c r="F2" s="1">
        <f>VLOOKUP(E2,GoiChup!$B$2:$C$8,2,FALSE)</f>
        <v>800000</v>
      </c>
      <c r="G2" s="1">
        <f>D2*F2</f>
        <v>1600000</v>
      </c>
    </row>
    <row r="3" hidden="1" spans="1:7">
      <c r="A3" s="1" t="s">
        <v>10</v>
      </c>
      <c r="B3" s="1" t="s">
        <v>11</v>
      </c>
      <c r="C3" s="1" t="s">
        <v>12</v>
      </c>
      <c r="D3" s="1">
        <v>5</v>
      </c>
      <c r="E3" s="1" t="str">
        <f>VLOOKUP(C3,GoiChup!$A$1:$B$8,2,FALSE)</f>
        <v>Chup anh the</v>
      </c>
      <c r="F3" s="1">
        <f>VLOOKUP(E3,GoiChup!$B$2:$C$8,2,FALSE)</f>
        <v>50000</v>
      </c>
      <c r="G3" s="1">
        <f t="shared" ref="G3:G16" si="0">D3*F3</f>
        <v>250000</v>
      </c>
    </row>
    <row r="4" hidden="1" spans="1:7">
      <c r="A4" s="1" t="s">
        <v>13</v>
      </c>
      <c r="B4" s="1" t="s">
        <v>14</v>
      </c>
      <c r="C4" s="1" t="s">
        <v>15</v>
      </c>
      <c r="D4" s="1">
        <v>1</v>
      </c>
      <c r="E4" s="1" t="str">
        <f>VLOOKUP(C4,GoiChup!$A$1:$B$8,2,FALSE)</f>
        <v>Chup be yeu</v>
      </c>
      <c r="F4" s="1">
        <f>VLOOKUP(E4,GoiChup!$B$2:$C$8,2,FALSE)</f>
        <v>900000</v>
      </c>
      <c r="G4" s="1">
        <f t="shared" si="0"/>
        <v>900000</v>
      </c>
    </row>
    <row r="5" hidden="1" spans="1:7">
      <c r="A5" s="1" t="s">
        <v>16</v>
      </c>
      <c r="B5" s="1" t="s">
        <v>17</v>
      </c>
      <c r="C5" s="1" t="s">
        <v>12</v>
      </c>
      <c r="D5" s="1">
        <v>1</v>
      </c>
      <c r="E5" s="1" t="str">
        <f>VLOOKUP(C5,GoiChup!$A$1:$B$8,2,FALSE)</f>
        <v>Chup anh the</v>
      </c>
      <c r="F5" s="1">
        <f>VLOOKUP(E5,GoiChup!$B$2:$C$8,2,FALSE)</f>
        <v>50000</v>
      </c>
      <c r="G5" s="1">
        <f t="shared" si="0"/>
        <v>50000</v>
      </c>
    </row>
    <row r="6" spans="1:7">
      <c r="A6" s="1" t="s">
        <v>18</v>
      </c>
      <c r="B6" s="1" t="s">
        <v>19</v>
      </c>
      <c r="C6" s="1" t="s">
        <v>15</v>
      </c>
      <c r="D6" s="1">
        <v>5</v>
      </c>
      <c r="E6" s="1" t="str">
        <f>VLOOKUP(C6,GoiChup!$A$1:$B$8,2,FALSE)</f>
        <v>Chup be yeu</v>
      </c>
      <c r="F6" s="1">
        <f>VLOOKUP(E6,GoiChup!$B$2:$C$8,2,FALSE)</f>
        <v>900000</v>
      </c>
      <c r="G6" s="1">
        <f t="shared" si="0"/>
        <v>4500000</v>
      </c>
    </row>
    <row r="7" hidden="1" spans="1:7">
      <c r="A7" s="1" t="s">
        <v>20</v>
      </c>
      <c r="B7" s="1" t="s">
        <v>21</v>
      </c>
      <c r="C7" s="1" t="s">
        <v>12</v>
      </c>
      <c r="D7" s="1">
        <v>2</v>
      </c>
      <c r="E7" s="1" t="str">
        <f>VLOOKUP(C7,GoiChup!$A$1:$B$8,2,FALSE)</f>
        <v>Chup anh the</v>
      </c>
      <c r="F7" s="1">
        <f>VLOOKUP(E7,GoiChup!$B$2:$C$8,2,FALSE)</f>
        <v>50000</v>
      </c>
      <c r="G7" s="1">
        <f t="shared" si="0"/>
        <v>100000</v>
      </c>
    </row>
    <row r="8" spans="1:7">
      <c r="A8" s="1" t="s">
        <v>22</v>
      </c>
      <c r="B8" s="1" t="s">
        <v>23</v>
      </c>
      <c r="C8" s="1" t="s">
        <v>24</v>
      </c>
      <c r="D8" s="1">
        <v>5</v>
      </c>
      <c r="E8" s="1" t="str">
        <f>VLOOKUP(C8,GoiChup!$A$1:$B$8,2,FALSE)</f>
        <v>Chup gia dinh</v>
      </c>
      <c r="F8" s="1">
        <f>VLOOKUP(E8,GoiChup!$B$2:$C$8,2,FALSE)</f>
        <v>1500000</v>
      </c>
      <c r="G8" s="1">
        <f t="shared" si="0"/>
        <v>7500000</v>
      </c>
    </row>
    <row r="9" hidden="1" spans="1:7">
      <c r="A9" s="1" t="s">
        <v>25</v>
      </c>
      <c r="B9" s="1" t="s">
        <v>26</v>
      </c>
      <c r="C9" s="1" t="s">
        <v>12</v>
      </c>
      <c r="D9" s="1">
        <v>5</v>
      </c>
      <c r="E9" s="1" t="str">
        <f>VLOOKUP(C9,GoiChup!$A$1:$B$8,2,FALSE)</f>
        <v>Chup anh the</v>
      </c>
      <c r="F9" s="1">
        <f>VLOOKUP(E9,GoiChup!$B$2:$C$8,2,FALSE)</f>
        <v>50000</v>
      </c>
      <c r="G9" s="1">
        <f t="shared" si="0"/>
        <v>250000</v>
      </c>
    </row>
    <row r="10" spans="1:7">
      <c r="A10" s="1" t="s">
        <v>27</v>
      </c>
      <c r="B10" s="1" t="s">
        <v>28</v>
      </c>
      <c r="C10" s="1" t="s">
        <v>29</v>
      </c>
      <c r="D10" s="1">
        <v>3</v>
      </c>
      <c r="E10" s="1" t="str">
        <f>VLOOKUP(C10,GoiChup!$A$1:$B$8,2,FALSE)</f>
        <v>Chup ky yeu lop</v>
      </c>
      <c r="F10" s="1">
        <f>VLOOKUP(E10,GoiChup!$B$2:$C$8,2,FALSE)</f>
        <v>1200000</v>
      </c>
      <c r="G10" s="1">
        <f t="shared" si="0"/>
        <v>3600000</v>
      </c>
    </row>
    <row r="11" hidden="1" spans="1:7">
      <c r="A11" s="1" t="s">
        <v>30</v>
      </c>
      <c r="B11" s="1" t="s">
        <v>31</v>
      </c>
      <c r="C11" s="1" t="s">
        <v>29</v>
      </c>
      <c r="D11" s="1">
        <v>1</v>
      </c>
      <c r="E11" s="1" t="str">
        <f>VLOOKUP(C11,GoiChup!$A$1:$B$8,2,FALSE)</f>
        <v>Chup ky yeu lop</v>
      </c>
      <c r="F11" s="1">
        <f>VLOOKUP(E11,GoiChup!$B$2:$C$8,2,FALSE)</f>
        <v>1200000</v>
      </c>
      <c r="G11" s="1">
        <f t="shared" si="0"/>
        <v>1200000</v>
      </c>
    </row>
    <row r="12" hidden="1" spans="1:7">
      <c r="A12" s="1" t="s">
        <v>32</v>
      </c>
      <c r="B12" s="1" t="s">
        <v>33</v>
      </c>
      <c r="C12" s="1" t="s">
        <v>34</v>
      </c>
      <c r="D12" s="1">
        <v>1</v>
      </c>
      <c r="E12" s="1" t="str">
        <f>VLOOKUP(C12,GoiChup!$A$1:$B$8,2,FALSE)</f>
        <v>Chup san pham</v>
      </c>
      <c r="F12" s="1">
        <f>VLOOKUP(E12,GoiChup!$B$2:$C$8,2,FALSE)</f>
        <v>600000</v>
      </c>
      <c r="G12" s="1">
        <f t="shared" si="0"/>
        <v>600000</v>
      </c>
    </row>
    <row r="13" spans="1:7">
      <c r="A13" s="1" t="s">
        <v>35</v>
      </c>
      <c r="B13" s="1" t="s">
        <v>36</v>
      </c>
      <c r="C13" s="1" t="s">
        <v>29</v>
      </c>
      <c r="D13" s="1">
        <v>2</v>
      </c>
      <c r="E13" s="1" t="str">
        <f>VLOOKUP(C13,GoiChup!$A$1:$B$8,2,FALSE)</f>
        <v>Chup ky yeu lop</v>
      </c>
      <c r="F13" s="1">
        <f>VLOOKUP(E13,GoiChup!$B$2:$C$8,2,FALSE)</f>
        <v>1200000</v>
      </c>
      <c r="G13" s="1">
        <f t="shared" si="0"/>
        <v>2400000</v>
      </c>
    </row>
    <row r="14" spans="1:7">
      <c r="A14" s="1" t="s">
        <v>37</v>
      </c>
      <c r="B14" s="1" t="s">
        <v>38</v>
      </c>
      <c r="C14" s="1" t="s">
        <v>39</v>
      </c>
      <c r="D14" s="1">
        <v>3</v>
      </c>
      <c r="E14" s="1" t="str">
        <f>VLOOKUP(C14,GoiChup!$A$1:$B$8,2,FALSE)</f>
        <v>Chup cuoi trong studio</v>
      </c>
      <c r="F14" s="1">
        <f>VLOOKUP(E14,GoiChup!$B$2:$C$8,2,FALSE)</f>
        <v>2500000</v>
      </c>
      <c r="G14" s="1">
        <f t="shared" si="0"/>
        <v>7500000</v>
      </c>
    </row>
    <row r="15" spans="1:7">
      <c r="A15" s="1" t="s">
        <v>40</v>
      </c>
      <c r="B15" s="1" t="s">
        <v>41</v>
      </c>
      <c r="C15" s="1" t="s">
        <v>15</v>
      </c>
      <c r="D15" s="1">
        <v>4</v>
      </c>
      <c r="E15" s="1" t="str">
        <f>VLOOKUP(C15,GoiChup!$A$1:$B$8,2,FALSE)</f>
        <v>Chup be yeu</v>
      </c>
      <c r="F15" s="1">
        <f>VLOOKUP(E15,GoiChup!$B$2:$C$8,2,FALSE)</f>
        <v>900000</v>
      </c>
      <c r="G15" s="1">
        <f t="shared" si="0"/>
        <v>3600000</v>
      </c>
    </row>
    <row r="16" spans="1:7">
      <c r="A16" s="1" t="s">
        <v>42</v>
      </c>
      <c r="B16" s="1" t="s">
        <v>43</v>
      </c>
      <c r="C16" s="1" t="s">
        <v>39</v>
      </c>
      <c r="D16" s="1">
        <v>2</v>
      </c>
      <c r="E16" s="1" t="str">
        <f>VLOOKUP(C16,GoiChup!$A$1:$B$8,2,FALSE)</f>
        <v>Chup cuoi trong studio</v>
      </c>
      <c r="F16" s="1">
        <f>VLOOKUP(E16,GoiChup!$B$2:$C$8,2,FALSE)</f>
        <v>2500000</v>
      </c>
      <c r="G16" s="1">
        <f t="shared" si="0"/>
        <v>5000000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24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9</v>
      </c>
      <c r="B2" t="s">
        <v>44</v>
      </c>
      <c r="C2">
        <v>800000</v>
      </c>
    </row>
    <row r="3" spans="1:3">
      <c r="A3" t="s">
        <v>29</v>
      </c>
      <c r="B3" t="s">
        <v>45</v>
      </c>
      <c r="C3">
        <v>1200000</v>
      </c>
    </row>
    <row r="4" spans="1:3">
      <c r="A4" t="s">
        <v>24</v>
      </c>
      <c r="B4" t="s">
        <v>46</v>
      </c>
      <c r="C4">
        <v>1500000</v>
      </c>
    </row>
    <row r="5" spans="1:3">
      <c r="A5" t="s">
        <v>34</v>
      </c>
      <c r="B5" t="s">
        <v>47</v>
      </c>
      <c r="C5">
        <v>600000</v>
      </c>
    </row>
    <row r="6" spans="1:3">
      <c r="A6" t="s">
        <v>12</v>
      </c>
      <c r="B6" t="s">
        <v>48</v>
      </c>
      <c r="C6">
        <v>50000</v>
      </c>
    </row>
    <row r="7" spans="1:3">
      <c r="A7" t="s">
        <v>15</v>
      </c>
      <c r="B7" t="s">
        <v>49</v>
      </c>
      <c r="C7">
        <v>900000</v>
      </c>
    </row>
    <row r="8" spans="1:3">
      <c r="A8" t="s">
        <v>39</v>
      </c>
      <c r="B8" t="s">
        <v>50</v>
      </c>
      <c r="C8">
        <v>2500000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LichChup</vt:lpstr>
      <vt:lpstr>GoiChup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Dũng Mai</cp:lastModifiedBy>
  <dcterms:created xsi:type="dcterms:W3CDTF">2026-10-27T01:32:00Z</dcterms:created>
  <dcterms:modified xsi:type="dcterms:W3CDTF">2026-10-28T02:07:08Z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1E32C32038624B1197B9792EF6DFA325_12</vt:lpwstr>
  </property>
  <property fmtid="{D5CDD505-2E9C-101B-9397-08002B2CF9AE}" pid="3" name="KSOProductBuildVer">
    <vt:lpwstr>1066-12.1.0.28099</vt:lpwstr>
  </property>
  <property fmtid="{D5CDD505-2E9C-101B-9397-08002B2CF9AE}" pid="4" name="CalculationRule">
    <vt:i4>0</vt:i4>
  </property>
</Properties>
</file>